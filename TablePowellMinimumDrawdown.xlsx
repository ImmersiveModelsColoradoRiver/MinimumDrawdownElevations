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294555190042/WOPIServiceId_TP_BOX_2/WOPIUserId_-/"/>
    </mc:Choice>
  </mc:AlternateContent>
  <xr:revisionPtr revIDLastSave="392" documentId="8_{EB169375-4291-49C2-AAE8-CC53DBF516B2}" xr6:coauthVersionLast="47" xr6:coauthVersionMax="47" xr10:uidLastSave="{0EA924F6-5A3C-4CB8-A1F3-67CF05AE91C3}"/>
  <bookViews>
    <workbookView xWindow="-28920" yWindow="-120" windowWidth="29040" windowHeight="15720" xr2:uid="{0D11306F-1CFA-4F8C-8146-6A7E5B5D44DC}"/>
  </bookViews>
  <sheets>
    <sheet name="ExampleTimeToCatastrophe" sheetId="1" r:id="rId1"/>
    <sheet name="Scratch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4" i="1" l="1"/>
  <c r="E14" i="1"/>
  <c r="B9" i="1"/>
  <c r="B6" i="1"/>
  <c r="E6" i="1" s="1"/>
  <c r="E8" i="1" s="1"/>
  <c r="D9" i="2"/>
  <c r="D11" i="2" s="1"/>
  <c r="C9" i="2"/>
  <c r="C11" i="2" s="1"/>
  <c r="E13" i="1" l="1"/>
  <c r="E11" i="1"/>
  <c r="E12" i="1"/>
  <c r="B8" i="1"/>
  <c r="D12" i="2"/>
  <c r="D13" i="2"/>
  <c r="C12" i="2"/>
  <c r="C13" i="2"/>
  <c r="B13" i="1" l="1"/>
  <c r="B11" i="1"/>
  <c r="B12" i="1"/>
</calcChain>
</file>

<file path=xl/sharedStrings.xml><?xml version="1.0" encoding="utf-8"?>
<sst xmlns="http://schemas.openxmlformats.org/spreadsheetml/2006/main" count="37" uniqueCount="34">
  <si>
    <t>Opportunities to adapt before Catastrophe</t>
  </si>
  <si>
    <t>Storage above Catastrope</t>
  </si>
  <si>
    <t xml:space="preserve">Decision Frequency </t>
  </si>
  <si>
    <t>1.8 MAF(3525 ft)</t>
  </si>
  <si>
    <t xml:space="preserve">   0.5 MAF(3500 ft)</t>
  </si>
  <si>
    <t>annual</t>
  </si>
  <si>
    <t>semi‑annual</t>
  </si>
  <si>
    <t>months</t>
  </si>
  <si>
    <t xml:space="preserve"> weeks</t>
  </si>
  <si>
    <t>Minimum Drawdown and Catastrophic Elevation Calculations</t>
  </si>
  <si>
    <t>annual decline</t>
  </si>
  <si>
    <t>Reservoir Attribute</t>
  </si>
  <si>
    <t>Minimum Drawdown Elevation (feet)</t>
  </si>
  <si>
    <t>Active Storage at (maf)</t>
  </si>
  <si>
    <t>Value</t>
  </si>
  <si>
    <t>Minimum Drawdown Elevation</t>
  </si>
  <si>
    <t>maf</t>
  </si>
  <si>
    <t xml:space="preserve">Minimum </t>
  </si>
  <si>
    <t>Catastrophic Elevation (3,514 feet)</t>
  </si>
  <si>
    <t>Buffer Volume (maf)</t>
  </si>
  <si>
    <t>Time to react</t>
  </si>
  <si>
    <t>maf per year</t>
  </si>
  <si>
    <t>Years</t>
  </si>
  <si>
    <t>years</t>
  </si>
  <si>
    <t>Months</t>
  </si>
  <si>
    <t>Number per year</t>
  </si>
  <si>
    <t>Weeks</t>
  </si>
  <si>
    <t>Example calculation showing time to react given a minimum drawdown elevation, catastrophic elevation, buffer volume and annual decrease in flow</t>
  </si>
  <si>
    <t>Attribute</t>
  </si>
  <si>
    <r>
      <rPr>
        <b/>
        <sz val="11"/>
        <color rgb="FF000000"/>
        <rFont val="Aptos Narrow"/>
        <family val="2"/>
        <scheme val="minor"/>
      </rPr>
      <t>(a) Minimum Drawdown Elevation</t>
    </r>
    <r>
      <rPr>
        <sz val="11"/>
        <color rgb="FF000000"/>
        <rFont val="Aptos Narrow"/>
        <family val="2"/>
        <scheme val="minor"/>
      </rPr>
      <t xml:space="preserve"> (3,525 feet)</t>
    </r>
  </si>
  <si>
    <r>
      <rPr>
        <b/>
        <sz val="11"/>
        <color rgb="FF000000"/>
        <rFont val="Aptos Narrow"/>
        <family val="2"/>
        <scheme val="minor"/>
      </rPr>
      <t>(b) Catastrophic Elevation</t>
    </r>
    <r>
      <rPr>
        <sz val="11"/>
        <color rgb="FF000000"/>
        <rFont val="Aptos Narrow"/>
        <family val="2"/>
        <scheme val="minor"/>
      </rPr>
      <t xml:space="preserve"> (3,514 feet)</t>
    </r>
  </si>
  <si>
    <t>(d) Annual decrease in flow</t>
  </si>
  <si>
    <t>e. Time to react [c / d]</t>
  </si>
  <si>
    <t>(c) Buffer Volume [a - 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</si>
</sst>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0" fillId="0" borderId="4" xfId="0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7" xfId="0" applyBorder="1" applyAlignment="1">
      <alignment horizontal="center" vertical="top"/>
    </xf>
    <xf numFmtId="0" fontId="0" fillId="0" borderId="10" xfId="0" applyBorder="1" applyAlignment="1">
      <alignment vertical="top" wrapText="1"/>
    </xf>
    <xf numFmtId="0" fontId="0" fillId="0" borderId="10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2" fillId="0" borderId="4" xfId="0" applyFont="1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 vertical="top"/>
    </xf>
    <xf numFmtId="164" fontId="0" fillId="0" borderId="7" xfId="0" applyNumberFormat="1" applyBorder="1" applyAlignment="1">
      <alignment horizontal="center" vertical="top"/>
    </xf>
    <xf numFmtId="164" fontId="0" fillId="0" borderId="11" xfId="0" applyNumberFormat="1" applyBorder="1" applyAlignment="1">
      <alignment horizontal="center" vertical="top"/>
    </xf>
    <xf numFmtId="164" fontId="0" fillId="0" borderId="12" xfId="0" applyNumberForma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2" borderId="13" xfId="0" applyFont="1" applyFill="1" applyBorder="1" applyAlignment="1">
      <alignment horizontal="left" vertical="top" wrapText="1"/>
    </xf>
    <xf numFmtId="164" fontId="0" fillId="0" borderId="15" xfId="0" applyNumberFormat="1" applyBorder="1" applyAlignment="1">
      <alignment horizontal="center" vertical="top" wrapText="1"/>
    </xf>
    <xf numFmtId="164" fontId="0" fillId="0" borderId="16" xfId="0" applyNumberFormat="1" applyBorder="1" applyAlignment="1">
      <alignment horizontal="center" vertical="top" wrapText="1"/>
    </xf>
    <xf numFmtId="0" fontId="4" fillId="0" borderId="13" xfId="0" applyFont="1" applyBorder="1" applyAlignment="1">
      <alignment vertical="top" wrapText="1"/>
    </xf>
    <xf numFmtId="0" fontId="1" fillId="0" borderId="1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164" fontId="0" fillId="0" borderId="19" xfId="0" applyNumberFormat="1" applyBorder="1" applyAlignment="1">
      <alignment horizontal="center" vertical="top" wrapText="1"/>
    </xf>
    <xf numFmtId="164" fontId="0" fillId="0" borderId="18" xfId="0" applyNumberFormat="1" applyBorder="1" applyAlignment="1">
      <alignment horizontal="center" vertical="top" wrapText="1"/>
    </xf>
    <xf numFmtId="164" fontId="0" fillId="0" borderId="0" xfId="0" applyNumberFormat="1"/>
    <xf numFmtId="2" fontId="0" fillId="0" borderId="0" xfId="0" applyNumberFormat="1"/>
    <xf numFmtId="0" fontId="1" fillId="2" borderId="18" xfId="0" applyFont="1" applyFill="1" applyBorder="1" applyAlignment="1">
      <alignment horizontal="center" vertical="top" wrapText="1"/>
    </xf>
    <xf numFmtId="0" fontId="1" fillId="2" borderId="17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left" vertical="center"/>
    </xf>
    <xf numFmtId="0" fontId="1" fillId="0" borderId="19" xfId="0" applyFont="1" applyBorder="1" applyAlignment="1">
      <alignment vertical="top" wrapText="1"/>
    </xf>
    <xf numFmtId="0" fontId="1" fillId="3" borderId="6" xfId="0" applyFont="1" applyFill="1" applyBorder="1" applyAlignment="1">
      <alignment horizontal="left" vertical="top" wrapText="1"/>
    </xf>
    <xf numFmtId="0" fontId="0" fillId="0" borderId="19" xfId="0" applyBorder="1" applyAlignment="1">
      <alignment horizontal="center" vertical="top"/>
    </xf>
    <xf numFmtId="0" fontId="0" fillId="0" borderId="18" xfId="0" applyBorder="1" applyAlignment="1">
      <alignment horizontal="center" vertical="top" wrapText="1"/>
    </xf>
    <xf numFmtId="164" fontId="1" fillId="3" borderId="2" xfId="0" applyNumberFormat="1" applyFont="1" applyFill="1" applyBorder="1" applyAlignment="1">
      <alignment horizontal="center" vertical="top" wrapText="1"/>
    </xf>
    <xf numFmtId="2" fontId="1" fillId="3" borderId="3" xfId="0" applyNumberFormat="1" applyFont="1" applyFill="1" applyBorder="1" applyAlignment="1">
      <alignment horizontal="center" vertical="top" wrapText="1"/>
    </xf>
    <xf numFmtId="164" fontId="1" fillId="3" borderId="4" xfId="0" applyNumberFormat="1" applyFont="1" applyFill="1" applyBorder="1" applyAlignment="1">
      <alignment horizontal="center"/>
    </xf>
    <xf numFmtId="0" fontId="1" fillId="3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58F73-C075-4E65-A6FF-F8F452CC31D5}">
  <dimension ref="A1:G14"/>
  <sheetViews>
    <sheetView tabSelected="1" topLeftCell="A4" zoomScale="172" zoomScaleNormal="172" workbookViewId="0">
      <selection activeCell="B13" sqref="B13:E14"/>
    </sheetView>
  </sheetViews>
  <sheetFormatPr defaultRowHeight="14.5" x14ac:dyDescent="0.35"/>
  <cols>
    <col min="1" max="1" width="14.26953125" customWidth="1"/>
    <col min="2" max="2" width="5.81640625" customWidth="1"/>
    <col min="3" max="3" width="7.1796875" customWidth="1"/>
    <col min="4" max="4" width="15.1796875" bestFit="1" customWidth="1"/>
  </cols>
  <sheetData>
    <row r="1" spans="1:7" x14ac:dyDescent="0.35">
      <c r="A1" t="s">
        <v>27</v>
      </c>
    </row>
    <row r="3" spans="1:7" x14ac:dyDescent="0.35">
      <c r="A3" s="20" t="s">
        <v>28</v>
      </c>
      <c r="B3" s="31" t="s">
        <v>14</v>
      </c>
      <c r="C3" s="32"/>
    </row>
    <row r="4" spans="1:7" ht="58" x14ac:dyDescent="0.35">
      <c r="A4" s="23" t="s">
        <v>29</v>
      </c>
      <c r="B4" s="21">
        <v>5.5449999999999999</v>
      </c>
      <c r="C4" s="22" t="s">
        <v>16</v>
      </c>
      <c r="E4" t="s">
        <v>17</v>
      </c>
    </row>
    <row r="5" spans="1:7" ht="45" customHeight="1" x14ac:dyDescent="0.35">
      <c r="A5" s="23" t="s">
        <v>30</v>
      </c>
      <c r="B5" s="25">
        <v>4.9000000000000004</v>
      </c>
      <c r="C5" s="26" t="s">
        <v>16</v>
      </c>
    </row>
    <row r="6" spans="1:7" ht="29" x14ac:dyDescent="0.35">
      <c r="A6" s="24" t="s">
        <v>33</v>
      </c>
      <c r="B6" s="27">
        <f>B4-B5</f>
        <v>0.64499999999999957</v>
      </c>
      <c r="C6" s="28" t="s">
        <v>16</v>
      </c>
      <c r="E6" s="29">
        <f>B6</f>
        <v>0.64499999999999957</v>
      </c>
    </row>
    <row r="7" spans="1:7" s="3" customFormat="1" ht="30.5" customHeight="1" x14ac:dyDescent="0.35">
      <c r="A7" s="40" t="s">
        <v>31</v>
      </c>
      <c r="B7" s="42">
        <v>2</v>
      </c>
      <c r="C7" s="43" t="s">
        <v>21</v>
      </c>
      <c r="E7" s="3">
        <v>4</v>
      </c>
    </row>
    <row r="8" spans="1:7" ht="16" customHeight="1" x14ac:dyDescent="0.35">
      <c r="A8" s="41" t="s">
        <v>32</v>
      </c>
      <c r="B8" s="44">
        <f>B6/B7</f>
        <v>0.32249999999999979</v>
      </c>
      <c r="C8" s="45" t="s">
        <v>23</v>
      </c>
      <c r="E8" s="30">
        <f>E6/E7</f>
        <v>0.16124999999999989</v>
      </c>
    </row>
    <row r="9" spans="1:7" x14ac:dyDescent="0.35">
      <c r="A9" s="41"/>
      <c r="B9" s="46">
        <f>B8*12</f>
        <v>3.8699999999999974</v>
      </c>
      <c r="C9" s="47" t="s">
        <v>7</v>
      </c>
    </row>
    <row r="10" spans="1:7" x14ac:dyDescent="0.35">
      <c r="A10" s="3"/>
      <c r="B10" s="4"/>
      <c r="C10" s="4"/>
      <c r="G10" t="s">
        <v>25</v>
      </c>
    </row>
    <row r="11" spans="1:7" x14ac:dyDescent="0.35">
      <c r="B11" s="15">
        <f>B$8*$G11</f>
        <v>0.32249999999999979</v>
      </c>
      <c r="C11" s="4"/>
      <c r="E11" s="15">
        <f>E$8*$G11</f>
        <v>0.16124999999999989</v>
      </c>
      <c r="G11">
        <v>1</v>
      </c>
    </row>
    <row r="12" spans="1:7" x14ac:dyDescent="0.35">
      <c r="B12" s="15">
        <f>B$8*$G12</f>
        <v>3.8699999999999974</v>
      </c>
      <c r="C12" s="19"/>
      <c r="E12" s="15">
        <f>E$8*$G12</f>
        <v>1.9349999999999987</v>
      </c>
      <c r="G12">
        <v>12</v>
      </c>
    </row>
    <row r="13" spans="1:7" x14ac:dyDescent="0.35">
      <c r="B13" s="15">
        <f>B$8*$G13</f>
        <v>16.769999999999989</v>
      </c>
      <c r="C13" s="19"/>
      <c r="E13" s="15">
        <f>E$8*$G13</f>
        <v>8.3849999999999945</v>
      </c>
      <c r="G13">
        <v>52</v>
      </c>
    </row>
    <row r="14" spans="1:7" x14ac:dyDescent="0.35">
      <c r="B14" s="15">
        <f>B$8*$G14</f>
        <v>117.71249999999992</v>
      </c>
      <c r="C14" s="19"/>
      <c r="E14" s="15">
        <f>E$8*$G14</f>
        <v>58.85624999999996</v>
      </c>
      <c r="G14">
        <v>365</v>
      </c>
    </row>
  </sheetData>
  <mergeCells count="2">
    <mergeCell ref="B3:C3"/>
    <mergeCell ref="A8:A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7D6FC-FBFE-42FD-940B-334C2279CA8A}">
  <dimension ref="A1:L13"/>
  <sheetViews>
    <sheetView zoomScale="160" zoomScaleNormal="160" workbookViewId="0">
      <selection activeCell="I2" sqref="I2:L8"/>
    </sheetView>
  </sheetViews>
  <sheetFormatPr defaultRowHeight="15" customHeight="1" x14ac:dyDescent="0.35"/>
  <cols>
    <col min="1" max="1" width="1.453125" customWidth="1"/>
    <col min="2" max="2" width="17.54296875" customWidth="1"/>
    <col min="3" max="3" width="9" customWidth="1"/>
    <col min="4" max="4" width="8.1796875" customWidth="1"/>
    <col min="9" max="9" width="12.453125" customWidth="1"/>
    <col min="10" max="10" width="4.26953125" style="4" customWidth="1"/>
    <col min="11" max="11" width="5.81640625" style="19" customWidth="1"/>
  </cols>
  <sheetData>
    <row r="1" spans="1:12" ht="14.5" x14ac:dyDescent="0.35">
      <c r="A1" t="s">
        <v>9</v>
      </c>
    </row>
    <row r="2" spans="1:12" ht="14.5" x14ac:dyDescent="0.35">
      <c r="A2" t="s">
        <v>10</v>
      </c>
      <c r="C2" s="19">
        <v>3</v>
      </c>
      <c r="I2" s="37" t="s">
        <v>0</v>
      </c>
      <c r="J2" s="37"/>
      <c r="K2" s="37"/>
      <c r="L2" s="37"/>
    </row>
    <row r="3" spans="1:12" ht="14.5" x14ac:dyDescent="0.35">
      <c r="C3" s="19"/>
      <c r="J3"/>
      <c r="K3" s="37" t="s">
        <v>1</v>
      </c>
      <c r="L3" s="37"/>
    </row>
    <row r="4" spans="1:12" ht="27.65" customHeight="1" x14ac:dyDescent="0.35">
      <c r="A4" s="39" t="s">
        <v>11</v>
      </c>
      <c r="B4" s="39"/>
      <c r="C4" s="36" t="s">
        <v>12</v>
      </c>
      <c r="D4" s="36"/>
      <c r="I4" s="38" t="s">
        <v>2</v>
      </c>
      <c r="J4"/>
      <c r="K4" t="s">
        <v>3</v>
      </c>
      <c r="L4" t="s">
        <v>4</v>
      </c>
    </row>
    <row r="5" spans="1:12" ht="14.5" x14ac:dyDescent="0.35">
      <c r="A5" s="39"/>
      <c r="B5" s="39"/>
      <c r="C5" s="1">
        <v>3525</v>
      </c>
      <c r="D5" s="1">
        <v>3540</v>
      </c>
      <c r="I5" s="38"/>
      <c r="J5" t="s">
        <v>5</v>
      </c>
      <c r="K5">
        <v>1</v>
      </c>
      <c r="L5">
        <v>1</v>
      </c>
    </row>
    <row r="6" spans="1:12" ht="15" customHeight="1" x14ac:dyDescent="0.35">
      <c r="A6" s="33" t="s">
        <v>13</v>
      </c>
      <c r="B6" s="34"/>
      <c r="C6" s="34"/>
      <c r="D6" s="35"/>
      <c r="I6" s="38"/>
      <c r="J6" t="s">
        <v>6</v>
      </c>
      <c r="K6">
        <v>1</v>
      </c>
      <c r="L6">
        <v>1</v>
      </c>
    </row>
    <row r="7" spans="1:12" ht="60.75" customHeight="1" x14ac:dyDescent="0.35">
      <c r="A7" s="7"/>
      <c r="B7" s="5" t="s">
        <v>15</v>
      </c>
      <c r="C7" s="15">
        <v>5.5449999999999999</v>
      </c>
      <c r="D7" s="16">
        <v>6.4489999999999998</v>
      </c>
      <c r="I7" s="38"/>
      <c r="J7" t="s">
        <v>7</v>
      </c>
      <c r="K7">
        <v>3</v>
      </c>
      <c r="L7">
        <v>1</v>
      </c>
    </row>
    <row r="8" spans="1:12" ht="43" customHeight="1" x14ac:dyDescent="0.35">
      <c r="A8" s="2"/>
      <c r="B8" s="9" t="s">
        <v>18</v>
      </c>
      <c r="C8" s="10">
        <v>4.9000000000000004</v>
      </c>
      <c r="D8" s="11">
        <v>4.9000000000000004</v>
      </c>
      <c r="I8" s="38"/>
      <c r="J8" t="s">
        <v>8</v>
      </c>
      <c r="K8">
        <v>15</v>
      </c>
      <c r="L8">
        <v>4</v>
      </c>
    </row>
    <row r="9" spans="1:12" ht="17.25" customHeight="1" x14ac:dyDescent="0.35">
      <c r="A9" s="12" t="s">
        <v>19</v>
      </c>
      <c r="B9" s="6"/>
      <c r="C9" s="17">
        <f>C7-C8</f>
        <v>0.64499999999999957</v>
      </c>
      <c r="D9" s="18">
        <f>D7-D8</f>
        <v>1.5489999999999995</v>
      </c>
    </row>
    <row r="10" spans="1:12" ht="40.5" customHeight="1" x14ac:dyDescent="0.35">
      <c r="A10" s="33" t="s">
        <v>20</v>
      </c>
      <c r="B10" s="34"/>
      <c r="C10" s="34"/>
      <c r="D10" s="35"/>
      <c r="H10" s="14"/>
    </row>
    <row r="11" spans="1:12" ht="14.5" x14ac:dyDescent="0.35">
      <c r="A11" s="7"/>
      <c r="B11" s="3" t="s">
        <v>22</v>
      </c>
      <c r="C11" s="4">
        <f>ROUNDDOWN(C9/$C$2,1)</f>
        <v>0.2</v>
      </c>
      <c r="D11" s="8">
        <f>ROUNDDOWN(D9/$C$2,1)</f>
        <v>0.5</v>
      </c>
    </row>
    <row r="12" spans="1:12" ht="14.5" x14ac:dyDescent="0.35">
      <c r="A12" s="7"/>
      <c r="B12" s="3" t="s">
        <v>24</v>
      </c>
      <c r="C12" s="4">
        <f>ROUNDDOWN(C$11*ExampleTimeToCatastrophe!$G12,0)</f>
        <v>2</v>
      </c>
      <c r="D12" s="8">
        <f>ROUNDDOWN(D$11*ExampleTimeToCatastrophe!$G12,0)</f>
        <v>6</v>
      </c>
    </row>
    <row r="13" spans="1:12" ht="14.5" x14ac:dyDescent="0.35">
      <c r="A13" s="2"/>
      <c r="B13" s="13" t="s">
        <v>26</v>
      </c>
      <c r="C13" s="10">
        <f>ROUNDDOWN(C$11*ExampleTimeToCatastrophe!$G13,0)</f>
        <v>10</v>
      </c>
      <c r="D13" s="11">
        <f>ROUNDDOWN(D$11*ExampleTimeToCatastrophe!$G13,0)</f>
        <v>26</v>
      </c>
    </row>
  </sheetData>
  <mergeCells count="7">
    <mergeCell ref="A10:D10"/>
    <mergeCell ref="C4:D4"/>
    <mergeCell ref="I2:L2"/>
    <mergeCell ref="I4:I8"/>
    <mergeCell ref="K3:L3"/>
    <mergeCell ref="A4:B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ExampleTimeToCatastrophe</vt:lpstr>
      <vt:lpstr>Scratch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fagerbrittany@gmail.com</dc:creator>
  <cp:keywords/>
  <dc:description/>
  <cp:lastModifiedBy>David Rosenberg</cp:lastModifiedBy>
  <cp:revision/>
  <dcterms:created xsi:type="dcterms:W3CDTF">2026-06-02T18:30:17Z</dcterms:created>
  <dcterms:modified xsi:type="dcterms:W3CDTF">2026-06-25T19:34:45Z</dcterms:modified>
  <cp:category/>
  <cp:contentStatus/>
</cp:coreProperties>
</file>