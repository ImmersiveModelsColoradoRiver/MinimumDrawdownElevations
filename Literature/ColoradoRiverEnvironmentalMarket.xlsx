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Box\ColoradoRiver\LakeMeadInflow\Papers\MinimumDrawdownElevations\"/>
    </mc:Choice>
  </mc:AlternateContent>
  <xr:revisionPtr revIDLastSave="0" documentId="13_ncr:1_{47FDF778-3618-4E47-9959-93F10DE10EFC}" xr6:coauthVersionLast="47" xr6:coauthVersionMax="47" xr10:uidLastSave="{00000000-0000-0000-0000-000000000000}"/>
  <bookViews>
    <workbookView xWindow="-57720" yWindow="-120" windowWidth="29040" windowHeight="15720" xr2:uid="{0AC713C5-5E13-41B4-956C-E70F10B25DE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8" i="1" l="1"/>
  <c r="T7" i="1"/>
  <c r="T6" i="1"/>
  <c r="O2" i="1"/>
  <c r="O7" i="1"/>
  <c r="O8" i="1"/>
  <c r="O9" i="1"/>
  <c r="O10" i="1"/>
  <c r="O11" i="1"/>
  <c r="O12" i="1"/>
  <c r="O13" i="1"/>
  <c r="O14" i="1"/>
  <c r="O6" i="1"/>
  <c r="O5" i="1"/>
  <c r="N8" i="1"/>
  <c r="N9" i="1"/>
  <c r="N10" i="1"/>
  <c r="N11" i="1"/>
  <c r="N12" i="1"/>
  <c r="N13" i="1"/>
  <c r="N14" i="1"/>
  <c r="N7" i="1"/>
  <c r="M8" i="1"/>
  <c r="M9" i="1"/>
  <c r="M10" i="1"/>
  <c r="M11" i="1"/>
  <c r="M12" i="1"/>
  <c r="M13" i="1"/>
  <c r="M14" i="1"/>
  <c r="M7" i="1"/>
  <c r="C3" i="1"/>
</calcChain>
</file>

<file path=xl/sharedStrings.xml><?xml version="1.0" encoding="utf-8"?>
<sst xmlns="http://schemas.openxmlformats.org/spreadsheetml/2006/main" count="26" uniqueCount="25">
  <si>
    <t>type</t>
  </si>
  <si>
    <r>
      <t>Total reduction in water consumption (million 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</si>
  <si>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t>Total cost (million 2023 US$)</t>
  </si>
  <si>
    <t>Water cost (million 2023 US$)</t>
  </si>
  <si>
    <t>Legal cost (million 2023 US$)</t>
  </si>
  <si>
    <t>Legal cost as % of water cost</t>
  </si>
  <si>
    <t>km restored (all reaches)</t>
  </si>
  <si>
    <t>km restored (environmental flow reaches)</t>
  </si>
  <si>
    <r>
      <t>Reduced water consumption cost-effectiveness (US$ m</t>
    </r>
    <r>
      <rPr>
        <b/>
        <vertAlign val="superscript"/>
        <sz val="11"/>
        <color theme="1"/>
        <rFont val="Aptos Narrow"/>
        <family val="2"/>
        <scheme val="minor"/>
      </rPr>
      <t>−3</t>
    </r>
    <r>
      <rPr>
        <b/>
        <sz val="11"/>
        <color theme="1"/>
        <rFont val="Aptos Narrow"/>
        <family val="2"/>
        <scheme val="minor"/>
      </rPr>
      <t>)</t>
    </r>
  </si>
  <si>
    <r>
      <t>Ecological cost-effectiveness (US$1,000 km</t>
    </r>
    <r>
      <rPr>
        <b/>
        <vertAlign val="superscript"/>
        <sz val="11"/>
        <color theme="1"/>
        <rFont val="Aptos Narrow"/>
        <family val="2"/>
        <scheme val="minor"/>
      </rPr>
      <t>−1</t>
    </r>
    <r>
      <rPr>
        <b/>
        <sz val="11"/>
        <color theme="1"/>
        <rFont val="Aptos Narrow"/>
        <family val="2"/>
        <scheme val="minor"/>
      </rPr>
      <t xml:space="preserve"> environmental flow reaches restored)</t>
    </r>
  </si>
  <si>
    <t>Number of monthly leases</t>
  </si>
  <si>
    <t>Number of sellers</t>
  </si>
  <si>
    <r>
      <t>Mandatory cutbacks with no water market</t>
    </r>
    <r>
      <rPr>
        <vertAlign val="superscript"/>
        <sz val="11"/>
        <color theme="1"/>
        <rFont val="Aptos Narrow"/>
        <family val="2"/>
        <scheme val="minor"/>
      </rPr>
      <t>a</t>
    </r>
  </si>
  <si>
    <t>Authorized market —reduced water consumption only</t>
  </si>
  <si>
    <t>Authorized environmental market</t>
  </si>
  <si>
    <t>Aggressive authorized market—reduced water consumption only</t>
  </si>
  <si>
    <t>Aggressive authorized environmental market</t>
  </si>
  <si>
    <t>Expanded market—reduced water consumption only</t>
  </si>
  <si>
    <t>Expanded environmental market</t>
  </si>
  <si>
    <t>Expanded market with unprotected transactions—reduced water consumption only</t>
  </si>
  <si>
    <t>Expanded environmental market with unprotected transactions</t>
  </si>
  <si>
    <t>Acre-foot per cubic meter</t>
  </si>
  <si>
    <t>Price ($ per acre-foot)</t>
  </si>
  <si>
    <t>Table 1 in https://www.nature.com/articles/s41893-025-01585-x</t>
  </si>
  <si>
    <r>
      <t xml:space="preserve">Colby, B. G., Crandall, K. &amp; Bush, D. B. Water right transactions: market values and price dispersion. </t>
    </r>
    <r>
      <rPr>
        <i/>
        <sz val="11"/>
        <color theme="1"/>
        <rFont val="Aptos Narrow"/>
        <family val="2"/>
        <scheme val="minor"/>
      </rPr>
      <t>Water Resour. Res.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29</t>
    </r>
    <r>
      <rPr>
        <sz val="11"/>
        <color theme="1"/>
        <rFont val="Aptos Narrow"/>
        <family val="2"/>
        <scheme val="minor"/>
      </rPr>
      <t>, 1565–1572 (1993).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</si>
</sst>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3" formatCode="0.0"/>
    <numFmt numFmtId="17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73" fontId="0" fillId="0" borderId="0" xfId="0" applyNumberFormat="1"/>
    <xf numFmtId="17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A486-D680-4512-93A9-D59950ECCFDC}">
  <dimension ref="A1:T14"/>
  <sheetViews>
    <sheetView tabSelected="1" topLeftCell="A4" workbookViewId="0">
      <selection activeCell="S9" sqref="S9"/>
    </sheetView>
  </sheetViews>
  <sheetFormatPr defaultRowHeight="14.5" x14ac:dyDescent="0.35"/>
  <cols>
    <col min="1" max="1" width="24.81640625" customWidth="1"/>
    <col min="2" max="2" width="13.36328125" customWidth="1"/>
    <col min="13" max="14" width="11.36328125" bestFit="1" customWidth="1"/>
    <col min="15" max="15" width="12.7265625" bestFit="1" customWidth="1"/>
    <col min="20" max="20" width="11.81640625" bestFit="1" customWidth="1"/>
  </cols>
  <sheetData>
    <row r="1" spans="1:20" x14ac:dyDescent="0.35">
      <c r="A1" t="s">
        <v>23</v>
      </c>
    </row>
    <row r="2" spans="1:20" x14ac:dyDescent="0.35">
      <c r="O2">
        <f>1000000*B3</f>
        <v>810.71400000000006</v>
      </c>
    </row>
    <row r="3" spans="1:20" x14ac:dyDescent="0.35">
      <c r="A3" t="s">
        <v>21</v>
      </c>
      <c r="B3">
        <v>8.1071400000000003E-4</v>
      </c>
      <c r="C3">
        <f>1/1233</f>
        <v>8.110300081103001E-4</v>
      </c>
    </row>
    <row r="5" spans="1:20" ht="161.5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22</v>
      </c>
      <c r="N5" s="1" t="s">
        <v>22</v>
      </c>
      <c r="O5" t="str">
        <f>B5</f>
        <v>Total reduction in water consumption (million m3)</v>
      </c>
    </row>
    <row r="6" spans="1:20" ht="89" x14ac:dyDescent="0.35">
      <c r="A6" s="2" t="s">
        <v>12</v>
      </c>
      <c r="B6" s="2">
        <v>173</v>
      </c>
      <c r="C6" s="2"/>
      <c r="D6" s="2"/>
      <c r="E6" s="2"/>
      <c r="F6" s="2"/>
      <c r="G6" s="2">
        <v>450</v>
      </c>
      <c r="H6" s="2">
        <v>205</v>
      </c>
      <c r="I6" s="2"/>
      <c r="J6" s="2"/>
      <c r="K6" s="2"/>
      <c r="L6" s="2"/>
      <c r="O6" s="5">
        <f>B6*10000000*$B$3</f>
        <v>1402535.22</v>
      </c>
      <c r="S6">
        <v>0.02</v>
      </c>
      <c r="T6">
        <f>S6/$B$3</f>
        <v>24.66961221836554</v>
      </c>
    </row>
    <row r="7" spans="1:20" ht="87" x14ac:dyDescent="0.35">
      <c r="A7" s="2" t="s">
        <v>13</v>
      </c>
      <c r="B7" s="2">
        <v>46</v>
      </c>
      <c r="C7" s="2">
        <v>29</v>
      </c>
      <c r="D7" s="2">
        <v>26</v>
      </c>
      <c r="E7" s="2">
        <v>2.8</v>
      </c>
      <c r="F7" s="2">
        <v>11</v>
      </c>
      <c r="G7" s="2">
        <v>94</v>
      </c>
      <c r="H7" s="2">
        <v>69</v>
      </c>
      <c r="I7" s="2">
        <v>0.62</v>
      </c>
      <c r="J7" s="2">
        <v>419</v>
      </c>
      <c r="K7" s="2">
        <v>21</v>
      </c>
      <c r="L7" s="2">
        <v>19</v>
      </c>
      <c r="M7" s="4">
        <f>C7/(B7*$B$3)</f>
        <v>777.62908079630506</v>
      </c>
      <c r="N7" s="4">
        <f>I7/$B$3</f>
        <v>764.75797876933166</v>
      </c>
      <c r="O7" s="5">
        <f t="shared" ref="O7:O14" si="0">B7*10000000*$B$3</f>
        <v>372928.44</v>
      </c>
      <c r="S7">
        <v>1.04</v>
      </c>
      <c r="T7">
        <f>S7/$B$3</f>
        <v>1282.8198353550081</v>
      </c>
    </row>
    <row r="8" spans="1:20" ht="72.5" x14ac:dyDescent="0.35">
      <c r="A8" s="2" t="s">
        <v>14</v>
      </c>
      <c r="B8" s="2">
        <v>54</v>
      </c>
      <c r="C8" s="2">
        <v>45</v>
      </c>
      <c r="D8" s="2">
        <v>39</v>
      </c>
      <c r="E8" s="2">
        <v>6.3</v>
      </c>
      <c r="F8" s="2">
        <v>16</v>
      </c>
      <c r="G8" s="2">
        <v>418</v>
      </c>
      <c r="H8" s="2">
        <v>243</v>
      </c>
      <c r="I8" s="2">
        <v>0.83</v>
      </c>
      <c r="J8" s="2">
        <v>186</v>
      </c>
      <c r="K8" s="2">
        <v>72</v>
      </c>
      <c r="L8" s="2">
        <v>49</v>
      </c>
      <c r="M8" s="4">
        <f t="shared" ref="M8:M14" si="1">C8/(B8*$B$3)</f>
        <v>1027.900509098564</v>
      </c>
      <c r="N8" s="4">
        <f t="shared" ref="N8:N14" si="2">I8/$B$3</f>
        <v>1023.7889070621698</v>
      </c>
      <c r="O8" s="5">
        <f t="shared" si="0"/>
        <v>437785.56</v>
      </c>
      <c r="S8">
        <v>0.6</v>
      </c>
      <c r="T8">
        <f>S8/$B$3</f>
        <v>740.08836655096616</v>
      </c>
    </row>
    <row r="9" spans="1:20" ht="130.5" x14ac:dyDescent="0.35">
      <c r="A9" s="2" t="s">
        <v>15</v>
      </c>
      <c r="B9" s="2">
        <v>175</v>
      </c>
      <c r="C9" s="2">
        <v>125</v>
      </c>
      <c r="D9" s="2">
        <v>116</v>
      </c>
      <c r="E9" s="2">
        <v>9.4</v>
      </c>
      <c r="F9" s="2">
        <v>8.1</v>
      </c>
      <c r="G9" s="2">
        <v>404</v>
      </c>
      <c r="H9" s="2">
        <v>158</v>
      </c>
      <c r="I9" s="2">
        <v>0.72</v>
      </c>
      <c r="J9" s="2">
        <v>310</v>
      </c>
      <c r="K9" s="2">
        <v>122</v>
      </c>
      <c r="L9" s="2">
        <v>46</v>
      </c>
      <c r="M9" s="4">
        <f t="shared" si="1"/>
        <v>881.05757922734074</v>
      </c>
      <c r="N9" s="4">
        <f t="shared" si="2"/>
        <v>888.10603986115939</v>
      </c>
      <c r="O9" s="5">
        <f t="shared" si="0"/>
        <v>1418749.5</v>
      </c>
    </row>
    <row r="10" spans="1:20" ht="101.5" x14ac:dyDescent="0.35">
      <c r="A10" s="2" t="s">
        <v>16</v>
      </c>
      <c r="B10" s="2">
        <v>175</v>
      </c>
      <c r="C10" s="2">
        <v>126</v>
      </c>
      <c r="D10" s="2">
        <v>115</v>
      </c>
      <c r="E10" s="2">
        <v>11</v>
      </c>
      <c r="F10" s="2">
        <v>9.8000000000000007</v>
      </c>
      <c r="G10" s="2">
        <v>550</v>
      </c>
      <c r="H10" s="2">
        <v>284</v>
      </c>
      <c r="I10" s="2">
        <v>0.72</v>
      </c>
      <c r="J10" s="2">
        <v>230</v>
      </c>
      <c r="K10" s="2">
        <v>168</v>
      </c>
      <c r="L10" s="2">
        <v>62</v>
      </c>
      <c r="M10" s="4">
        <f t="shared" si="1"/>
        <v>888.10603986115939</v>
      </c>
      <c r="N10" s="4">
        <f t="shared" si="2"/>
        <v>888.10603986115939</v>
      </c>
      <c r="O10" s="5">
        <f t="shared" si="0"/>
        <v>1418749.5</v>
      </c>
    </row>
    <row r="11" spans="1:20" ht="87" x14ac:dyDescent="0.35">
      <c r="A11" s="2" t="s">
        <v>17</v>
      </c>
      <c r="B11" s="2">
        <v>173</v>
      </c>
      <c r="C11" s="2">
        <v>115</v>
      </c>
      <c r="D11" s="2">
        <v>109</v>
      </c>
      <c r="E11" s="2">
        <v>6.4</v>
      </c>
      <c r="F11" s="2">
        <v>5.9</v>
      </c>
      <c r="G11" s="2">
        <v>312</v>
      </c>
      <c r="H11" s="2">
        <v>127</v>
      </c>
      <c r="I11" s="2">
        <v>0.67</v>
      </c>
      <c r="J11" s="2">
        <v>908</v>
      </c>
      <c r="K11" s="2">
        <v>67</v>
      </c>
      <c r="L11" s="2">
        <v>31</v>
      </c>
      <c r="M11" s="4">
        <f t="shared" si="1"/>
        <v>819.94375870290094</v>
      </c>
      <c r="N11" s="4">
        <f t="shared" si="2"/>
        <v>826.43200931524564</v>
      </c>
      <c r="O11" s="5">
        <f t="shared" si="0"/>
        <v>1402535.22</v>
      </c>
    </row>
    <row r="12" spans="1:20" ht="58" x14ac:dyDescent="0.35">
      <c r="A12" s="2" t="s">
        <v>18</v>
      </c>
      <c r="B12" s="2">
        <v>174</v>
      </c>
      <c r="C12" s="2">
        <v>124</v>
      </c>
      <c r="D12" s="2">
        <v>113</v>
      </c>
      <c r="E12" s="2">
        <v>10</v>
      </c>
      <c r="F12" s="2">
        <v>9.1</v>
      </c>
      <c r="G12" s="2">
        <v>617</v>
      </c>
      <c r="H12" s="2">
        <v>353</v>
      </c>
      <c r="I12" s="2">
        <v>0.71</v>
      </c>
      <c r="J12" s="2">
        <v>351</v>
      </c>
      <c r="K12" s="2">
        <v>118</v>
      </c>
      <c r="L12" s="2">
        <v>72</v>
      </c>
      <c r="M12" s="4">
        <f t="shared" si="1"/>
        <v>879.03215950497895</v>
      </c>
      <c r="N12" s="4">
        <f t="shared" si="2"/>
        <v>875.77123375197652</v>
      </c>
      <c r="O12" s="5">
        <f t="shared" si="0"/>
        <v>1410642.36</v>
      </c>
    </row>
    <row r="13" spans="1:20" ht="159.5" x14ac:dyDescent="0.35">
      <c r="A13" s="2" t="s">
        <v>19</v>
      </c>
      <c r="B13" s="2">
        <v>176</v>
      </c>
      <c r="C13" s="2">
        <v>129</v>
      </c>
      <c r="D13" s="2">
        <v>116</v>
      </c>
      <c r="E13" s="2">
        <v>13</v>
      </c>
      <c r="F13" s="2">
        <v>12</v>
      </c>
      <c r="G13" s="2">
        <v>327</v>
      </c>
      <c r="H13" s="2">
        <v>136</v>
      </c>
      <c r="I13" s="2">
        <v>0.73</v>
      </c>
      <c r="J13" s="2">
        <v>954</v>
      </c>
      <c r="K13" s="2">
        <v>992</v>
      </c>
      <c r="L13" s="2">
        <v>344</v>
      </c>
      <c r="M13" s="4">
        <f t="shared" si="1"/>
        <v>904.08522050260058</v>
      </c>
      <c r="N13" s="4">
        <f t="shared" si="2"/>
        <v>900.44084597034214</v>
      </c>
      <c r="O13" s="5">
        <f t="shared" si="0"/>
        <v>1426856.6400000001</v>
      </c>
    </row>
    <row r="14" spans="1:20" ht="130.5" x14ac:dyDescent="0.35">
      <c r="A14" s="2" t="s">
        <v>20</v>
      </c>
      <c r="B14" s="2">
        <v>177</v>
      </c>
      <c r="C14" s="2">
        <v>139</v>
      </c>
      <c r="D14" s="2">
        <v>120</v>
      </c>
      <c r="E14" s="2">
        <v>19</v>
      </c>
      <c r="F14" s="2">
        <v>15</v>
      </c>
      <c r="G14" s="2">
        <v>597</v>
      </c>
      <c r="H14" s="2">
        <v>307</v>
      </c>
      <c r="I14" s="2">
        <v>0.79</v>
      </c>
      <c r="J14" s="2">
        <v>452</v>
      </c>
      <c r="K14" s="3">
        <v>1842</v>
      </c>
      <c r="L14" s="2">
        <v>523</v>
      </c>
      <c r="M14" s="4">
        <f t="shared" si="1"/>
        <v>968.6655645064435</v>
      </c>
      <c r="N14" s="4">
        <f t="shared" si="2"/>
        <v>974.44968262543887</v>
      </c>
      <c r="O14" s="5">
        <f t="shared" si="0"/>
        <v>1434963.78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CCE4-5A9B-42EB-B699-F9A8D3176EFB}">
  <dimension ref="A1"/>
  <sheetViews>
    <sheetView workbookViewId="0"/>
  </sheetViews>
  <sheetFormatPr defaultRowHeight="14.5" x14ac:dyDescent="0.35"/>
  <sheetData>
    <row r="1" spans="1:1" x14ac:dyDescent="0.35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Rosenberg</dc:creator>
  <cp:lastModifiedBy>David Rosenberg</cp:lastModifiedBy>
  <dcterms:created xsi:type="dcterms:W3CDTF">2026-09-18T17:44:56Z</dcterms:created>
  <dcterms:modified xsi:type="dcterms:W3CDTF">2026-09-18T18:20:32Z</dcterms:modified>
</cp:coreProperties>
</file>